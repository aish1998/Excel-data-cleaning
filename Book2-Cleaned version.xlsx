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pc\Desktop\"/>
    </mc:Choice>
  </mc:AlternateContent>
  <xr:revisionPtr revIDLastSave="0" documentId="8_{A3894023-8122-4598-AC9E-6A6DD08BC316}" xr6:coauthVersionLast="47" xr6:coauthVersionMax="47" xr10:uidLastSave="{00000000-0000-0000-0000-000000000000}"/>
  <bookViews>
    <workbookView xWindow="-110" yWindow="-110" windowWidth="19420" windowHeight="10300" firstSheet="1" activeTab="1" xr2:uid="{66AC8672-119F-4935-B350-EC6853F5DB04}"/>
  </bookViews>
  <sheets>
    <sheet name="Sheet1" sheetId="1" r:id="rId1"/>
    <sheet name="Sheet1 (Cleaned &amp; formatted)  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</calcChain>
</file>

<file path=xl/sharedStrings.xml><?xml version="1.0" encoding="utf-8"?>
<sst xmlns="http://schemas.openxmlformats.org/spreadsheetml/2006/main" count="151" uniqueCount="78">
  <si>
    <t>Card</t>
  </si>
  <si>
    <t>New York</t>
  </si>
  <si>
    <t>Strategy</t>
  </si>
  <si>
    <t>Mik Naam</t>
  </si>
  <si>
    <t xml:space="preserve">lockheed martin corporation </t>
  </si>
  <si>
    <t>Transfer</t>
  </si>
  <si>
    <t>Josh Johnson</t>
  </si>
  <si>
    <t xml:space="preserve">general electric company </t>
  </si>
  <si>
    <t>Harry Lee</t>
  </si>
  <si>
    <t xml:space="preserve">fedex corporation </t>
  </si>
  <si>
    <t>Mark Walm</t>
  </si>
  <si>
    <t xml:space="preserve">johnson &amp; johnson </t>
  </si>
  <si>
    <t>PayPal</t>
  </si>
  <si>
    <t>Jaidyn Andersen</t>
  </si>
  <si>
    <t xml:space="preserve">dell technologies inc. </t>
  </si>
  <si>
    <t>Bryce Carpenter</t>
  </si>
  <si>
    <t xml:space="preserve">comcast corporation </t>
  </si>
  <si>
    <t>California</t>
  </si>
  <si>
    <t>Big Data</t>
  </si>
  <si>
    <t>Arturo Moore</t>
  </si>
  <si>
    <t xml:space="preserve">microsoft corporation </t>
  </si>
  <si>
    <t>Bruce Rich</t>
  </si>
  <si>
    <t xml:space="preserve">general motors company </t>
  </si>
  <si>
    <t>Jaylynn Napp</t>
  </si>
  <si>
    <t xml:space="preserve">intel corporation </t>
  </si>
  <si>
    <t>Bruno Cordova</t>
  </si>
  <si>
    <t xml:space="preserve">at&amp;t inc. </t>
  </si>
  <si>
    <t>Florida</t>
  </si>
  <si>
    <t>Operations</t>
  </si>
  <si>
    <t>Denzel Flores</t>
  </si>
  <si>
    <t xml:space="preserve">chevron corporation </t>
  </si>
  <si>
    <t>Alia Thornton</t>
  </si>
  <si>
    <t xml:space="preserve">cisco systems, inc. </t>
  </si>
  <si>
    <t>Franklin Wrigt</t>
  </si>
  <si>
    <t xml:space="preserve">the home depot, inc. </t>
  </si>
  <si>
    <t>Jose Roach</t>
  </si>
  <si>
    <t xml:space="preserve">verizon communications inc. </t>
  </si>
  <si>
    <t>NA</t>
  </si>
  <si>
    <t>Lucia Mckay</t>
  </si>
  <si>
    <t xml:space="preserve">exxon mobil corporation </t>
  </si>
  <si>
    <t>Check</t>
  </si>
  <si>
    <t>Steven Michael</t>
  </si>
  <si>
    <t xml:space="preserve">mcdonald's corporation </t>
  </si>
  <si>
    <t>Conor Wise</t>
  </si>
  <si>
    <t xml:space="preserve">costco wholesale corporation </t>
  </si>
  <si>
    <t>Texas</t>
  </si>
  <si>
    <t>Cloud Tech</t>
  </si>
  <si>
    <t>Brendan Wallace</t>
  </si>
  <si>
    <t xml:space="preserve">target corporation </t>
  </si>
  <si>
    <t>Nora Rollins</t>
  </si>
  <si>
    <t xml:space="preserve">walmart inc. </t>
  </si>
  <si>
    <t>Kylee Townsend</t>
  </si>
  <si>
    <t xml:space="preserve">bank of america corporation </t>
  </si>
  <si>
    <t>Jordan Boone</t>
  </si>
  <si>
    <t xml:space="preserve">citigroup inc. </t>
  </si>
  <si>
    <t>Jonha Ma</t>
  </si>
  <si>
    <t xml:space="preserve">morgan stanley </t>
  </si>
  <si>
    <t>Ivan Hiney</t>
  </si>
  <si>
    <t xml:space="preserve">jpmorgan chase &amp; co. </t>
  </si>
  <si>
    <t>David Rasmussen</t>
  </si>
  <si>
    <t xml:space="preserve">the goldman sachs group, inc. </t>
  </si>
  <si>
    <t>Nyla Novak</t>
  </si>
  <si>
    <t xml:space="preserve">the procter &amp; gamble company </t>
  </si>
  <si>
    <t>Harley Fritz</t>
  </si>
  <si>
    <t xml:space="preserve">netflix, inc. </t>
  </si>
  <si>
    <t>Ken Singh</t>
  </si>
  <si>
    <t xml:space="preserve">tesla, inc. </t>
  </si>
  <si>
    <t>Bill Smith</t>
  </si>
  <si>
    <t xml:space="preserve">amazon.com, inc. </t>
  </si>
  <si>
    <t>Profit Margin</t>
  </si>
  <si>
    <t>Profit</t>
  </si>
  <si>
    <t>Revenue</t>
  </si>
  <si>
    <t>Payment</t>
  </si>
  <si>
    <t>States</t>
  </si>
  <si>
    <t>Department_Formatted</t>
  </si>
  <si>
    <t>Contact</t>
  </si>
  <si>
    <t>Client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</si>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</sst>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0.0%"/>
    <numFmt numFmtId="165" formatCode="&quot;$&quot;#,##0_);[Red]\(&quot;$&quot;#,##0\)"/>
    <numFmt numFmtId="166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164" fontId="0" fillId="0" borderId="1" xfId="1" applyNumberFormat="1" applyFont="1" applyBorder="1"/>
    <xf numFmtId="0" fontId="2" fillId="0" borderId="0" xfId="2"/>
    <xf numFmtId="165" fontId="2" fillId="0" borderId="0" xfId="2" applyNumberFormat="1" applyAlignment="1">
      <alignment horizontal="center"/>
    </xf>
    <xf numFmtId="164" fontId="0" fillId="0" borderId="2" xfId="3" applyNumberFormat="1" applyFont="1" applyBorder="1"/>
    <xf numFmtId="166" fontId="0" fillId="0" borderId="3" xfId="4" applyNumberFormat="1" applyFont="1" applyBorder="1" applyAlignment="1">
      <alignment horizontal="center"/>
    </xf>
    <xf numFmtId="0" fontId="2" fillId="0" borderId="3" xfId="2" applyBorder="1"/>
    <xf numFmtId="14" fontId="2" fillId="0" borderId="4" xfId="2" applyNumberFormat="1" applyBorder="1"/>
    <xf numFmtId="164" fontId="0" fillId="0" borderId="1" xfId="3" applyNumberFormat="1" applyFont="1" applyBorder="1"/>
    <xf numFmtId="166" fontId="0" fillId="0" borderId="0" xfId="4" applyNumberFormat="1" applyFont="1" applyBorder="1" applyAlignment="1">
      <alignment horizontal="center"/>
    </xf>
    <xf numFmtId="14" fontId="2" fillId="0" borderId="5" xfId="2" applyNumberFormat="1" applyBorder="1"/>
    <xf numFmtId="0" fontId="2" fillId="0" borderId="6" xfId="2" applyBorder="1"/>
    <xf numFmtId="0" fontId="3" fillId="2" borderId="7" xfId="2" applyFont="1" applyFill="1" applyBorder="1" applyAlignment="1">
      <alignment horizontal="center"/>
    </xf>
    <xf numFmtId="0" fontId="3" fillId="2" borderId="8" xfId="2" applyFont="1" applyFill="1" applyBorder="1" applyAlignment="1">
      <alignment horizontal="center"/>
    </xf>
    <xf numFmtId="0" fontId="3" fillId="2" borderId="8" xfId="2" applyFont="1" applyFill="1" applyBorder="1"/>
    <xf numFmtId="0" fontId="3" fillId="2" borderId="9" xfId="2" applyFont="1" applyFill="1" applyBorder="1"/>
  </cellXfs>
  <cellStyles count="5">
    <cellStyle name="Currency 2" xfId="4" xr:uid="{16E1CCD5-B404-46D2-B0CE-2A08B83E58F3}"/>
    <cellStyle name="Normal" xfId="0" builtinId="0"/>
    <cellStyle name="Normal 2" xfId="2" xr:uid="{188687BD-EC01-4DC6-B229-F07107F5F3FF}"/>
    <cellStyle name="Percent" xfId="1" builtinId="5"/>
    <cellStyle name="Percent 2" xfId="3" xr:uid="{B2921ABC-A37E-48DF-8779-740388E482FC}"/>
  </cellStyles>
  <dxfs count="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7938-564E-4E33-A35A-4FCA25D25C8B}">
  <dimension ref="D6"/>
  <sheetViews>
    <sheetView workbookViewId="0">
      <selection activeCell="G6" sqref="G6"/>
    </sheetView>
  </sheetViews>
  <sheetFormatPr defaultRowHeight="14.5" x14ac:dyDescent="0.35"/>
  <sheetData>
    <row r="6" spans="4:4" x14ac:dyDescent="0.35">
      <c r="D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636E-2B3F-4519-AA5A-B4D8EB6DC9EF}">
  <dimension ref="B1:P42"/>
  <sheetViews>
    <sheetView tabSelected="1" zoomScale="63" workbookViewId="0">
      <selection activeCell="Q12" sqref="Q12"/>
    </sheetView>
  </sheetViews>
  <sheetFormatPr defaultColWidth="11.6328125" defaultRowHeight="15.5" x14ac:dyDescent="0.35"/>
  <cols>
    <col min="1" max="1" width="7.26953125" style="2" customWidth="1"/>
    <col min="2" max="2" width="11.54296875" style="2" customWidth="1"/>
    <col min="3" max="3" width="48.26953125" style="2" customWidth="1"/>
    <col min="4" max="4" width="22.7265625" style="2" customWidth="1"/>
    <col min="5" max="5" width="23.90625" style="2" customWidth="1"/>
    <col min="6" max="6" width="21.1796875" style="2" customWidth="1"/>
    <col min="7" max="7" width="17.1796875" style="2" customWidth="1"/>
    <col min="8" max="8" width="11.54296875" style="2" customWidth="1"/>
    <col min="9" max="9" width="11.6328125" style="2"/>
    <col min="10" max="10" width="13.54296875" style="2" customWidth="1"/>
    <col min="11" max="16384" width="11.6328125" style="2"/>
  </cols>
  <sheetData>
    <row r="1" spans="2:16" ht="16" thickBot="1" x14ac:dyDescent="0.4"/>
    <row r="2" spans="2:16" x14ac:dyDescent="0.35">
      <c r="B2" s="15" t="s">
        <v>77</v>
      </c>
      <c r="C2" s="14" t="s">
        <v>76</v>
      </c>
      <c r="D2" s="13" t="s">
        <v>75</v>
      </c>
      <c r="E2" s="13" t="s">
        <v>74</v>
      </c>
      <c r="F2" s="13" t="s">
        <v>73</v>
      </c>
      <c r="G2" s="13" t="s">
        <v>72</v>
      </c>
      <c r="H2" s="13" t="s">
        <v>71</v>
      </c>
      <c r="I2" s="13" t="s">
        <v>70</v>
      </c>
      <c r="J2" s="12" t="s">
        <v>69</v>
      </c>
    </row>
    <row r="3" spans="2:16" x14ac:dyDescent="0.35">
      <c r="B3" s="10">
        <v>45076</v>
      </c>
      <c r="C3" s="2" t="s">
        <v>68</v>
      </c>
      <c r="D3" s="2" t="s">
        <v>67</v>
      </c>
      <c r="E3" s="2" t="s">
        <v>46</v>
      </c>
      <c r="F3" s="2" t="s">
        <v>45</v>
      </c>
      <c r="G3" s="2" t="s">
        <v>5</v>
      </c>
      <c r="H3" s="9">
        <v>4500</v>
      </c>
      <c r="I3" s="9">
        <v>598</v>
      </c>
      <c r="J3" s="8">
        <f>IFERROR(I3/H3,"NA")</f>
        <v>0.13288888888888889</v>
      </c>
    </row>
    <row r="4" spans="2:16" x14ac:dyDescent="0.35">
      <c r="B4" s="10">
        <v>45076</v>
      </c>
      <c r="C4" s="2" t="s">
        <v>66</v>
      </c>
      <c r="D4" s="2" t="s">
        <v>65</v>
      </c>
      <c r="E4" s="2" t="s">
        <v>2</v>
      </c>
      <c r="F4" s="2" t="s">
        <v>1</v>
      </c>
      <c r="G4" s="2" t="s">
        <v>12</v>
      </c>
      <c r="H4" s="9">
        <v>3800</v>
      </c>
      <c r="I4" s="9">
        <v>1045</v>
      </c>
      <c r="J4" s="8">
        <f>IFERROR(I4/H4,"NA")</f>
        <v>0.27500000000000002</v>
      </c>
    </row>
    <row r="5" spans="2:16" x14ac:dyDescent="0.35">
      <c r="B5" s="10">
        <v>45076</v>
      </c>
      <c r="C5" s="2" t="s">
        <v>64</v>
      </c>
      <c r="D5" s="2" t="s">
        <v>63</v>
      </c>
      <c r="E5" s="2" t="s">
        <v>2</v>
      </c>
      <c r="F5" s="2" t="s">
        <v>1</v>
      </c>
      <c r="G5" s="2" t="s">
        <v>37</v>
      </c>
      <c r="H5" s="9">
        <v>3712.5</v>
      </c>
      <c r="I5" s="9">
        <v>1009</v>
      </c>
      <c r="J5" s="8">
        <f>IFERROR(I5/H5,"NA")</f>
        <v>0.2717845117845118</v>
      </c>
    </row>
    <row r="6" spans="2:16" x14ac:dyDescent="0.35">
      <c r="B6" s="10">
        <v>45076</v>
      </c>
      <c r="C6" s="2" t="s">
        <v>62</v>
      </c>
      <c r="D6" s="2" t="s">
        <v>61</v>
      </c>
      <c r="E6" s="2" t="s">
        <v>28</v>
      </c>
      <c r="F6" s="2" t="s">
        <v>27</v>
      </c>
      <c r="G6" s="2" t="s">
        <v>37</v>
      </c>
      <c r="H6" s="9" t="s">
        <v>37</v>
      </c>
      <c r="I6" s="9">
        <v>779</v>
      </c>
      <c r="J6" s="8" t="str">
        <f>IFERROR(I6/H6,"NA")</f>
        <v>NA</v>
      </c>
    </row>
    <row r="7" spans="2:16" x14ac:dyDescent="0.35">
      <c r="B7" s="10">
        <v>45076</v>
      </c>
      <c r="C7" s="2" t="s">
        <v>60</v>
      </c>
      <c r="D7" s="2" t="s">
        <v>59</v>
      </c>
      <c r="E7" s="2" t="s">
        <v>28</v>
      </c>
      <c r="F7" s="2" t="s">
        <v>27</v>
      </c>
      <c r="G7" s="2" t="s">
        <v>40</v>
      </c>
      <c r="H7" s="9">
        <v>5000</v>
      </c>
      <c r="I7" s="9">
        <v>684</v>
      </c>
      <c r="J7" s="8">
        <f>IFERROR(I7/H7,"NA")</f>
        <v>0.1368</v>
      </c>
    </row>
    <row r="8" spans="2:16" ht="51" customHeight="1" x14ac:dyDescent="0.35">
      <c r="B8" s="10">
        <v>45077</v>
      </c>
      <c r="C8" s="2" t="s">
        <v>58</v>
      </c>
      <c r="D8" s="2" t="s">
        <v>57</v>
      </c>
      <c r="E8" s="2" t="s">
        <v>46</v>
      </c>
      <c r="F8" s="2" t="s">
        <v>45</v>
      </c>
      <c r="G8" s="2" t="s">
        <v>5</v>
      </c>
      <c r="H8" s="9">
        <v>6100</v>
      </c>
      <c r="I8" s="9">
        <v>544</v>
      </c>
      <c r="J8" s="8">
        <f>IFERROR(I8/H8,"NA")</f>
        <v>8.9180327868852466E-2</v>
      </c>
    </row>
    <row r="9" spans="2:16" x14ac:dyDescent="0.35">
      <c r="B9" s="10">
        <v>45077</v>
      </c>
      <c r="C9" s="2" t="s">
        <v>56</v>
      </c>
      <c r="D9" s="2" t="s">
        <v>55</v>
      </c>
      <c r="E9" s="2" t="s">
        <v>46</v>
      </c>
      <c r="F9" s="2" t="s">
        <v>45</v>
      </c>
      <c r="G9" s="2" t="s">
        <v>5</v>
      </c>
      <c r="H9" s="9">
        <v>4625</v>
      </c>
      <c r="I9" s="9">
        <v>670</v>
      </c>
      <c r="J9" s="8">
        <f>IFERROR(I9/H9,"NA")</f>
        <v>0.14486486486486486</v>
      </c>
    </row>
    <row r="10" spans="2:16" x14ac:dyDescent="0.35">
      <c r="B10" s="10">
        <v>45077</v>
      </c>
      <c r="C10" s="2" t="s">
        <v>54</v>
      </c>
      <c r="D10" s="2" t="s">
        <v>53</v>
      </c>
      <c r="E10" s="2" t="s">
        <v>46</v>
      </c>
      <c r="F10" s="2" t="s">
        <v>45</v>
      </c>
      <c r="G10" s="2" t="s">
        <v>5</v>
      </c>
      <c r="H10" s="9">
        <v>3800</v>
      </c>
      <c r="I10" s="9">
        <v>2045</v>
      </c>
      <c r="J10" s="8">
        <f>IFERROR(I10/H10,"NA")</f>
        <v>0.53815789473684206</v>
      </c>
    </row>
    <row r="11" spans="2:16" x14ac:dyDescent="0.35">
      <c r="B11" s="10">
        <v>45077</v>
      </c>
      <c r="C11" s="2" t="s">
        <v>52</v>
      </c>
      <c r="D11" s="2" t="s">
        <v>51</v>
      </c>
      <c r="E11" s="2" t="s">
        <v>46</v>
      </c>
      <c r="F11" s="2" t="s">
        <v>45</v>
      </c>
      <c r="G11" s="2" t="s">
        <v>0</v>
      </c>
      <c r="H11" s="9">
        <v>3600</v>
      </c>
      <c r="I11" s="9">
        <v>1564</v>
      </c>
      <c r="J11" s="8">
        <f>IFERROR(I11/H11,"NA")</f>
        <v>0.43444444444444447</v>
      </c>
    </row>
    <row r="12" spans="2:16" ht="44" customHeight="1" x14ac:dyDescent="0.35">
      <c r="B12" s="10">
        <v>45077</v>
      </c>
      <c r="C12" s="2" t="s">
        <v>50</v>
      </c>
      <c r="D12" s="2" t="s">
        <v>49</v>
      </c>
      <c r="E12" s="2" t="s">
        <v>46</v>
      </c>
      <c r="F12" s="2" t="s">
        <v>45</v>
      </c>
      <c r="G12" s="2" t="s">
        <v>40</v>
      </c>
      <c r="H12" s="9">
        <v>5100</v>
      </c>
      <c r="I12" s="9">
        <v>1220</v>
      </c>
      <c r="J12" s="8">
        <f>IFERROR(I12/H12,"NA")</f>
        <v>0.23921568627450981</v>
      </c>
    </row>
    <row r="13" spans="2:16" x14ac:dyDescent="0.35">
      <c r="B13" s="10">
        <v>45077</v>
      </c>
      <c r="C13" s="2" t="s">
        <v>48</v>
      </c>
      <c r="D13" s="2" t="s">
        <v>47</v>
      </c>
      <c r="E13" s="2" t="s">
        <v>46</v>
      </c>
      <c r="F13" s="2" t="s">
        <v>45</v>
      </c>
      <c r="G13" s="2" t="s">
        <v>40</v>
      </c>
      <c r="H13" s="9">
        <v>4750</v>
      </c>
      <c r="I13" s="9">
        <v>1435</v>
      </c>
      <c r="J13" s="8">
        <f>IFERROR(I13/H13,"NA")</f>
        <v>0.30210526315789471</v>
      </c>
    </row>
    <row r="14" spans="2:16" x14ac:dyDescent="0.35">
      <c r="B14" s="10">
        <v>45077</v>
      </c>
      <c r="C14" s="2" t="s">
        <v>44</v>
      </c>
      <c r="D14" s="2" t="s">
        <v>43</v>
      </c>
      <c r="E14" s="2" t="s">
        <v>28</v>
      </c>
      <c r="F14" s="2" t="s">
        <v>27</v>
      </c>
      <c r="G14" s="2" t="s">
        <v>5</v>
      </c>
      <c r="H14" s="9">
        <v>6000</v>
      </c>
      <c r="I14" s="9">
        <v>998</v>
      </c>
      <c r="J14" s="8">
        <f>IFERROR(I14/H14,"NA")</f>
        <v>0.16633333333333333</v>
      </c>
    </row>
    <row r="15" spans="2:16" ht="16" thickBot="1" x14ac:dyDescent="0.4">
      <c r="B15" s="10">
        <v>45077</v>
      </c>
      <c r="C15" s="2" t="s">
        <v>42</v>
      </c>
      <c r="D15" s="2" t="s">
        <v>41</v>
      </c>
      <c r="E15" s="2" t="s">
        <v>18</v>
      </c>
      <c r="F15" s="2" t="s">
        <v>17</v>
      </c>
      <c r="G15" s="2" t="s">
        <v>40</v>
      </c>
      <c r="H15" s="9">
        <v>4500</v>
      </c>
      <c r="I15" s="9">
        <v>780</v>
      </c>
      <c r="J15" s="8">
        <f>IFERROR(I15/H15,"NA")</f>
        <v>0.17333333333333334</v>
      </c>
    </row>
    <row r="16" spans="2:16" ht="16" thickBot="1" x14ac:dyDescent="0.4">
      <c r="B16" s="10">
        <v>45078</v>
      </c>
      <c r="C16" s="2" t="s">
        <v>39</v>
      </c>
      <c r="D16" s="2" t="s">
        <v>38</v>
      </c>
      <c r="E16" s="2" t="s">
        <v>18</v>
      </c>
      <c r="F16" s="2" t="s">
        <v>17</v>
      </c>
      <c r="G16" s="2" t="s">
        <v>0</v>
      </c>
      <c r="H16" s="9" t="s">
        <v>37</v>
      </c>
      <c r="I16" s="9">
        <v>1044</v>
      </c>
      <c r="J16" s="8" t="str">
        <f>IFERROR(I16/H16,"NA")</f>
        <v>NA</v>
      </c>
      <c r="P16" s="11"/>
    </row>
    <row r="17" spans="2:10" x14ac:dyDescent="0.35">
      <c r="B17" s="10">
        <v>45078</v>
      </c>
      <c r="C17" s="2" t="s">
        <v>36</v>
      </c>
      <c r="D17" s="2" t="s">
        <v>35</v>
      </c>
      <c r="E17" s="2" t="s">
        <v>18</v>
      </c>
      <c r="F17" s="2" t="s">
        <v>17</v>
      </c>
      <c r="G17" s="2" t="s">
        <v>5</v>
      </c>
      <c r="H17" s="9">
        <v>3712.5</v>
      </c>
      <c r="I17" s="9">
        <v>1222</v>
      </c>
      <c r="J17" s="8">
        <f>IFERROR(I17/H17,"NA")</f>
        <v>0.32915824915824915</v>
      </c>
    </row>
    <row r="18" spans="2:10" ht="38" customHeight="1" x14ac:dyDescent="0.35">
      <c r="B18" s="10">
        <v>45078</v>
      </c>
      <c r="C18" s="2" t="s">
        <v>34</v>
      </c>
      <c r="D18" s="2" t="s">
        <v>33</v>
      </c>
      <c r="E18" s="2" t="s">
        <v>18</v>
      </c>
      <c r="F18" s="2" t="s">
        <v>17</v>
      </c>
      <c r="G18" s="2" t="s">
        <v>5</v>
      </c>
      <c r="H18" s="9">
        <v>4950</v>
      </c>
      <c r="I18" s="9">
        <v>1065</v>
      </c>
      <c r="J18" s="8">
        <f>IFERROR(I18/H18,"NA")</f>
        <v>0.21515151515151515</v>
      </c>
    </row>
    <row r="19" spans="2:10" x14ac:dyDescent="0.35">
      <c r="B19" s="10">
        <v>45078</v>
      </c>
      <c r="C19" s="2" t="s">
        <v>32</v>
      </c>
      <c r="D19" s="2" t="s">
        <v>31</v>
      </c>
      <c r="E19" s="2" t="s">
        <v>28</v>
      </c>
      <c r="F19" s="2" t="s">
        <v>27</v>
      </c>
      <c r="G19" s="2" t="s">
        <v>5</v>
      </c>
      <c r="H19" s="9">
        <v>4750</v>
      </c>
      <c r="I19" s="9">
        <v>810</v>
      </c>
      <c r="J19" s="8">
        <f>IFERROR(I19/H19,"NA")</f>
        <v>0.17052631578947369</v>
      </c>
    </row>
    <row r="20" spans="2:10" ht="12" customHeight="1" x14ac:dyDescent="0.35">
      <c r="B20" s="10">
        <v>45078</v>
      </c>
      <c r="C20" s="2" t="s">
        <v>30</v>
      </c>
      <c r="D20" s="2" t="s">
        <v>29</v>
      </c>
      <c r="E20" s="2" t="s">
        <v>28</v>
      </c>
      <c r="F20" s="2" t="s">
        <v>27</v>
      </c>
      <c r="G20" s="2" t="s">
        <v>5</v>
      </c>
      <c r="H20" s="9">
        <v>7320</v>
      </c>
      <c r="I20" s="9">
        <v>933</v>
      </c>
      <c r="J20" s="8">
        <f>IFERROR(I20/H20,"NA")</f>
        <v>0.12745901639344262</v>
      </c>
    </row>
    <row r="21" spans="2:10" x14ac:dyDescent="0.35">
      <c r="B21" s="10">
        <v>45078</v>
      </c>
      <c r="C21" s="2" t="s">
        <v>26</v>
      </c>
      <c r="D21" s="2" t="s">
        <v>25</v>
      </c>
      <c r="E21" s="2" t="s">
        <v>18</v>
      </c>
      <c r="F21" s="2" t="s">
        <v>17</v>
      </c>
      <c r="G21" s="2" t="s">
        <v>5</v>
      </c>
      <c r="H21" s="9">
        <v>5087.5</v>
      </c>
      <c r="I21" s="9">
        <v>655</v>
      </c>
      <c r="J21" s="8">
        <f>IFERROR(I21/H21,"NA")</f>
        <v>0.12874692874692875</v>
      </c>
    </row>
    <row r="22" spans="2:10" x14ac:dyDescent="0.35">
      <c r="B22" s="10">
        <v>45078</v>
      </c>
      <c r="C22" s="2" t="s">
        <v>24</v>
      </c>
      <c r="D22" s="2" t="s">
        <v>23</v>
      </c>
      <c r="E22" s="2" t="s">
        <v>18</v>
      </c>
      <c r="F22" s="2" t="s">
        <v>17</v>
      </c>
      <c r="G22" s="2" t="s">
        <v>5</v>
      </c>
      <c r="H22" s="9">
        <v>4500</v>
      </c>
      <c r="I22" s="9">
        <v>722</v>
      </c>
      <c r="J22" s="8">
        <f>IFERROR(I22/H22,"NA")</f>
        <v>0.16044444444444445</v>
      </c>
    </row>
    <row r="23" spans="2:10" ht="8" customHeight="1" x14ac:dyDescent="0.35">
      <c r="B23" s="10">
        <v>45078</v>
      </c>
      <c r="C23" s="2" t="s">
        <v>22</v>
      </c>
      <c r="D23" s="2" t="s">
        <v>21</v>
      </c>
      <c r="E23" s="2" t="s">
        <v>18</v>
      </c>
      <c r="F23" s="2" t="s">
        <v>17</v>
      </c>
      <c r="G23" s="2" t="s">
        <v>0</v>
      </c>
      <c r="H23" s="9">
        <v>4250</v>
      </c>
      <c r="I23" s="9">
        <v>901</v>
      </c>
      <c r="J23" s="8">
        <f>IFERROR(I23/H23,"NA")</f>
        <v>0.21199999999999999</v>
      </c>
    </row>
    <row r="24" spans="2:10" ht="96" customHeight="1" x14ac:dyDescent="0.35">
      <c r="B24" s="10">
        <v>45079</v>
      </c>
      <c r="C24" s="2" t="s">
        <v>20</v>
      </c>
      <c r="D24" s="2" t="s">
        <v>19</v>
      </c>
      <c r="E24" s="2" t="s">
        <v>18</v>
      </c>
      <c r="F24" s="2" t="s">
        <v>17</v>
      </c>
      <c r="G24" s="2" t="s">
        <v>12</v>
      </c>
      <c r="H24" s="9">
        <v>5250</v>
      </c>
      <c r="I24" s="9">
        <v>1349</v>
      </c>
      <c r="J24" s="8">
        <f>IFERROR(I24/H24,"NA")</f>
        <v>0.25695238095238093</v>
      </c>
    </row>
    <row r="25" spans="2:10" x14ac:dyDescent="0.35">
      <c r="B25" s="10">
        <v>45079</v>
      </c>
      <c r="C25" s="2" t="s">
        <v>16</v>
      </c>
      <c r="D25" s="2" t="s">
        <v>15</v>
      </c>
      <c r="E25" s="2" t="s">
        <v>2</v>
      </c>
      <c r="F25" s="2" t="s">
        <v>1</v>
      </c>
      <c r="G25" s="2" t="s">
        <v>12</v>
      </c>
      <c r="H25" s="9">
        <v>6500</v>
      </c>
      <c r="I25" s="9">
        <v>1288</v>
      </c>
      <c r="J25" s="8">
        <f>IFERROR(I25/H25,"NA")</f>
        <v>0.19815384615384615</v>
      </c>
    </row>
    <row r="26" spans="2:10" x14ac:dyDescent="0.35">
      <c r="B26" s="10">
        <v>45079</v>
      </c>
      <c r="C26" s="2" t="s">
        <v>14</v>
      </c>
      <c r="D26" s="2" t="s">
        <v>13</v>
      </c>
      <c r="E26" s="2" t="s">
        <v>2</v>
      </c>
      <c r="F26" s="2" t="s">
        <v>1</v>
      </c>
      <c r="G26" s="2" t="s">
        <v>12</v>
      </c>
      <c r="H26" s="9">
        <v>7500</v>
      </c>
      <c r="I26" s="9">
        <v>1664</v>
      </c>
      <c r="J26" s="8">
        <f>IFERROR(I26/H26,"NA")</f>
        <v>0.22186666666666666</v>
      </c>
    </row>
    <row r="27" spans="2:10" x14ac:dyDescent="0.35">
      <c r="B27" s="10">
        <v>45079</v>
      </c>
      <c r="C27" s="2" t="s">
        <v>11</v>
      </c>
      <c r="D27" s="2" t="s">
        <v>10</v>
      </c>
      <c r="E27" s="2" t="s">
        <v>2</v>
      </c>
      <c r="F27" s="2" t="s">
        <v>1</v>
      </c>
      <c r="G27" s="2" t="s">
        <v>5</v>
      </c>
      <c r="H27" s="9">
        <v>5500</v>
      </c>
      <c r="I27" s="9">
        <v>1320</v>
      </c>
      <c r="J27" s="8">
        <f>IFERROR(I27/H27,"NA")</f>
        <v>0.24</v>
      </c>
    </row>
    <row r="28" spans="2:10" x14ac:dyDescent="0.35">
      <c r="B28" s="10">
        <v>45079</v>
      </c>
      <c r="C28" s="2" t="s">
        <v>9</v>
      </c>
      <c r="D28" s="2" t="s">
        <v>8</v>
      </c>
      <c r="E28" s="2" t="s">
        <v>2</v>
      </c>
      <c r="F28" s="2" t="s">
        <v>1</v>
      </c>
      <c r="G28" s="2" t="s">
        <v>5</v>
      </c>
      <c r="H28" s="9">
        <v>4625</v>
      </c>
      <c r="I28" s="9">
        <v>1001</v>
      </c>
      <c r="J28" s="8">
        <f>IFERROR(I28/H28,"NA")</f>
        <v>0.21643243243243243</v>
      </c>
    </row>
    <row r="29" spans="2:10" x14ac:dyDescent="0.35">
      <c r="B29" s="10">
        <v>45079</v>
      </c>
      <c r="C29" s="2" t="s">
        <v>7</v>
      </c>
      <c r="D29" s="2" t="s">
        <v>6</v>
      </c>
      <c r="E29" s="2" t="s">
        <v>2</v>
      </c>
      <c r="F29" s="2" t="s">
        <v>1</v>
      </c>
      <c r="G29" s="2" t="s">
        <v>5</v>
      </c>
      <c r="H29" s="9">
        <v>4500</v>
      </c>
      <c r="I29" s="9">
        <v>960</v>
      </c>
      <c r="J29" s="8">
        <f>IFERROR(I29/H29,"NA")</f>
        <v>0.21333333333333335</v>
      </c>
    </row>
    <row r="30" spans="2:10" ht="16" thickBot="1" x14ac:dyDescent="0.4">
      <c r="B30" s="7">
        <v>45079</v>
      </c>
      <c r="C30" s="6" t="s">
        <v>4</v>
      </c>
      <c r="D30" s="6" t="s">
        <v>3</v>
      </c>
      <c r="E30" s="6" t="s">
        <v>2</v>
      </c>
      <c r="F30" s="6" t="s">
        <v>1</v>
      </c>
      <c r="G30" s="6" t="s">
        <v>0</v>
      </c>
      <c r="H30" s="5">
        <v>5400</v>
      </c>
      <c r="I30" s="5">
        <v>540</v>
      </c>
      <c r="J30" s="4">
        <f>IFERROR(I30/H30,"NA")</f>
        <v>0.1</v>
      </c>
    </row>
    <row r="34" spans="8:8" x14ac:dyDescent="0.35">
      <c r="H34" s="3"/>
    </row>
    <row r="35" spans="8:8" x14ac:dyDescent="0.35">
      <c r="H35" s="3"/>
    </row>
    <row r="36" spans="8:8" x14ac:dyDescent="0.35">
      <c r="H36" s="3"/>
    </row>
    <row r="37" spans="8:8" x14ac:dyDescent="0.35">
      <c r="H37" s="3"/>
    </row>
    <row r="38" spans="8:8" x14ac:dyDescent="0.35">
      <c r="H38" s="3"/>
    </row>
    <row r="39" spans="8:8" x14ac:dyDescent="0.35">
      <c r="H39" s="3"/>
    </row>
    <row r="40" spans="8:8" x14ac:dyDescent="0.35">
      <c r="H40" s="3"/>
    </row>
    <row r="41" spans="8:8" x14ac:dyDescent="0.35">
      <c r="H41" s="3"/>
    </row>
    <row r="42" spans="8:8" x14ac:dyDescent="0.35">
      <c r="H42" s="3"/>
    </row>
  </sheetData>
  <conditionalFormatting sqref="G3:G30">
    <cfRule type="containsBlanks" dxfId="1" priority="2">
      <formula>LEN(TRIM(G3))=0</formula>
    </cfRule>
  </conditionalFormatting>
  <conditionalFormatting sqref="H3:H30">
    <cfRule type="containsBlanks" dxfId="0" priority="1">
      <formula>LEN(TRIM(H3))=0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(Cleaned &amp; formatted)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 v</dc:creator>
  <cp:lastModifiedBy>suba v</cp:lastModifiedBy>
  <dcterms:created xsi:type="dcterms:W3CDTF">2026-03-03T02:20:04Z</dcterms:created>
  <dcterms:modified xsi:type="dcterms:W3CDTF">2026-03-03T02:22:26Z</dcterms:modified>
</cp:coreProperties>
</file>